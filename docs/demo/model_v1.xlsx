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  <sheet name="Inputs" sheetId="2" r:id="rId2"/>
    <sheet name="Notes" sheetId="3" state="veryHidden" r:id="rId3"/>
  </sheets>
  <externalReferences>
    <externalReference r:id="rIdX1"/>
  </externalReferences>
  <definedNames>
    <definedName name="OldRange">#REF!</definedName>
  </definedName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X1" Type="http://schemas.openxmlformats.org/officeDocument/2006/relationships/externalLink" Target="externalLinks/externalLink1.xml"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C:/Finance/Prices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Sheet1"/>
    </sheetNames>
  </externalBook>
</externalLink>
</file>

<file path=xl/worksheets/sheet1.xml><?xml version="1.0" encoding="utf-8"?>
<worksheet xmlns="http://schemas.openxmlformats.org/spreadsheetml/2006/main">
  <sheetData>
    <row r="1">
      <c r="A1" t="inlineStr">
        <is>
          <t>Units</t>
        </is>
      </c>
      <c r="B1" t="inlineStr">
        <is>
          <t>Price</t>
        </is>
      </c>
      <c r="C1" t="inlineStr">
        <is>
          <t>Revenue</t>
        </is>
      </c>
      <c r="D1" t="inlineStr">
        <is>
          <t>Adjusted</t>
        </is>
      </c>
      <c r="E1" t="inlineStr">
        <is>
          <t>List price</t>
        </is>
      </c>
      <c r="F1" t="inlineStr">
        <is>
          <t>Lookup</t>
        </is>
      </c>
    </row>
    <row r="2">
      <c r="A2">
        <v>120</v>
      </c>
      <c r="B2">
        <v>4.5</v>
      </c>
      <c r="C2">
        <f>A2*B2*Inputs!$B$1</f>
        <v>583.2</v>
      </c>
      <c r="D2" t="e">
        <f>#REF!*2</f>
        <v>#REF!</v>
      </c>
      <c r="E2">
        <f>[1]Prices!A1*1.15</f>
        <v>5.18</v>
      </c>
      <c r="F2">
        <f>INDIRECT("Inputs!B1")</f>
        <v>1.08</v>
      </c>
    </row>
    <row r="3">
      <c r="A3">
        <v>85</v>
      </c>
      <c r="B3">
        <v>6.25</v>
      </c>
      <c r="C3">
        <f>A3*B3*Inputs!$B$1</f>
        <v>573.75</v>
      </c>
      <c r="D3" t="e">
        <f>D2+C3</f>
        <v>#REF!</v>
      </c>
    </row>
    <row r="4">
      <c r="A4">
        <v>64</v>
      </c>
      <c r="B4">
        <v>8.0</v>
      </c>
      <c r="C4">
        <v>535</v>
      </c>
    </row>
    <row r="5">
      <c r="A5">
        <v>150</v>
      </c>
      <c r="B5">
        <v>3.75</v>
      </c>
      <c r="C5">
        <f>A5*B6*Inputs!$B$1</f>
        <v>1944.0</v>
      </c>
    </row>
    <row r="6">
      <c r="A6">
        <v>42</v>
      </c>
      <c r="B6">
        <v>12.0</v>
      </c>
      <c r="C6">
        <f>A6*B6*Inputs!$B$1</f>
        <v>544.32</v>
      </c>
    </row>
    <row r="7">
      <c r="A7">
        <v>97</v>
      </c>
      <c r="B7">
        <v>5.5</v>
      </c>
      <c r="C7">
        <f>A7*B7*Inputs!$B$1</f>
        <v>576.18</v>
      </c>
    </row>
    <row r="8">
      <c r="C8">
        <f>SUM(C2:C8)</f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FX rate</t>
        </is>
      </c>
      <c r="B1">
        <v>1.08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Old assumptions, do not use</t>
        </is>
      </c>
    </row>
  </sheetData>
</worksheet>
</file>